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M Data" sheetId="1" r:id="rId4"/>
    <sheet state="visible" name="Dashboard" sheetId="2" r:id="rId5"/>
  </sheets>
  <definedNames/>
  <calcPr/>
</workbook>
</file>

<file path=xl/sharedStrings.xml><?xml version="1.0" encoding="utf-8"?>
<sst xmlns="http://schemas.openxmlformats.org/spreadsheetml/2006/main" count="192" uniqueCount="109">
  <si>
    <t>Studio Name</t>
  </si>
  <si>
    <t>Phone #</t>
  </si>
  <si>
    <t>Email</t>
  </si>
  <si>
    <t>Type of Contact</t>
  </si>
  <si>
    <t>Last Contacted</t>
  </si>
  <si>
    <t>Next Follow-Up</t>
  </si>
  <si>
    <t>Contact Frequency</t>
  </si>
  <si>
    <t>Contacted Button</t>
  </si>
  <si>
    <t>Studio Promo</t>
  </si>
  <si>
    <t>Recital</t>
  </si>
  <si>
    <t>Studio Sage</t>
  </si>
  <si>
    <t>Notes</t>
  </si>
  <si>
    <t>Recital Date</t>
  </si>
  <si>
    <t>LT Dance Studios</t>
  </si>
  <si>
    <t>(250) 661-1767</t>
  </si>
  <si>
    <t>ltdancestudios@gmail.com</t>
  </si>
  <si>
    <t>Not Interested</t>
  </si>
  <si>
    <t>Not Contacted</t>
  </si>
  <si>
    <t>in vancouver, might like SS</t>
  </si>
  <si>
    <t>Elite Dance Project</t>
  </si>
  <si>
    <t>info.elitedanceproject@gmail.com</t>
  </si>
  <si>
    <t>Previous Client</t>
  </si>
  <si>
    <t>Booked in 2022, spooked by price in 2023</t>
  </si>
  <si>
    <t>ADA Dance</t>
  </si>
  <si>
    <t>mindy.adadance@gmail.com</t>
  </si>
  <si>
    <t>met through UDC, never spoken with us directly</t>
  </si>
  <si>
    <t>Cirque Revolution</t>
  </si>
  <si>
    <t>elisa@cirquerevolution.ca</t>
  </si>
  <si>
    <t>Did brief recitals in 24, unlikely to book</t>
  </si>
  <si>
    <t>Hype Danz</t>
  </si>
  <si>
    <t>hypedanz@yahoo.ca</t>
  </si>
  <si>
    <t>Peterborough, liked their promo, may do a recital, will like SS</t>
  </si>
  <si>
    <t>The Dance Class Milton</t>
  </si>
  <si>
    <t>kelly@thedanceclassmilton.com</t>
  </si>
  <si>
    <t>Previous nutcracker, hasn't responded to further followups</t>
  </si>
  <si>
    <t>Impact Dance Complex</t>
  </si>
  <si>
    <t>linnea@impactdancecomplex.ca</t>
  </si>
  <si>
    <t>Did a promo and they liked it, never did recital, will like SS</t>
  </si>
  <si>
    <t>Global Dance Open</t>
  </si>
  <si>
    <t>accounts@globaldanceopen.com</t>
  </si>
  <si>
    <t>Will book 26 no dates yet</t>
  </si>
  <si>
    <t>The Academy Circus</t>
  </si>
  <si>
    <t>(519) 441-0482</t>
  </si>
  <si>
    <t>meaghanwegg@gmail.com</t>
  </si>
  <si>
    <t>Bit of a cheapskat</t>
  </si>
  <si>
    <t>Poise Dance Academy</t>
  </si>
  <si>
    <t>comp@poisedance.ca</t>
  </si>
  <si>
    <t>Through UDC, never worked with directly</t>
  </si>
  <si>
    <t>Footprints Dance Centre</t>
  </si>
  <si>
    <t>(519) 532-4905</t>
  </si>
  <si>
    <t>info@footprintsdancecentre.com</t>
  </si>
  <si>
    <t>Proposal Sent</t>
  </si>
  <si>
    <t>Needs nudging through Taylor for StudioSage, might do more promos for reno</t>
  </si>
  <si>
    <t>Dance In Style Studio</t>
  </si>
  <si>
    <t>info@dancewoodstock.com</t>
  </si>
  <si>
    <t>Needs followup on SS</t>
  </si>
  <si>
    <t>Woodstock School of Dance Yoga</t>
  </si>
  <si>
    <t>Purchased</t>
  </si>
  <si>
    <t>Will do promo, have their own recital guy, will like SS</t>
  </si>
  <si>
    <t>JJ Dance Arts</t>
  </si>
  <si>
    <t>(647) 328-6251</t>
  </si>
  <si>
    <t>jj@dancearts.ca</t>
  </si>
  <si>
    <t>Interested</t>
  </si>
  <si>
    <t>Booking for fall recital, they have a spring one too, flat rates cheapskates</t>
  </si>
  <si>
    <t>7Attitudes</t>
  </si>
  <si>
    <t>customerservice@7attitudes.ca</t>
  </si>
  <si>
    <t>Weekly</t>
  </si>
  <si>
    <t>Penciled</t>
  </si>
  <si>
    <t>Will book for 26, ready for builder</t>
  </si>
  <si>
    <t>Generations Performing Arts</t>
  </si>
  <si>
    <t>(647) 281-5503</t>
  </si>
  <si>
    <t>connect@generationsperformingarts.com</t>
  </si>
  <si>
    <t>Contacted</t>
  </si>
  <si>
    <t>Decided againt livestream for 26</t>
  </si>
  <si>
    <t>Lindsay Dance Studio</t>
  </si>
  <si>
    <t>alana.lindsaydancestudio@gmail.com</t>
  </si>
  <si>
    <t xml:space="preserve">Will book for 26, under new leadership, </t>
  </si>
  <si>
    <t>Kinetic Elements Dance</t>
  </si>
  <si>
    <t>kineticelementsdance@gmail.com</t>
  </si>
  <si>
    <t>Paid late 25, should book for 26, have mentioned SS</t>
  </si>
  <si>
    <t>Grand River Dance</t>
  </si>
  <si>
    <t>misslaura@grandriverdance.com</t>
  </si>
  <si>
    <t>Had trouble with SS, will book for 26 recital, always mentions promo</t>
  </si>
  <si>
    <t>CE Dance Studio</t>
  </si>
  <si>
    <t>(905) 315-0840</t>
  </si>
  <si>
    <t>cedancestudio@gmail.com</t>
  </si>
  <si>
    <t>Was grumpy after 24, should ask about 26</t>
  </si>
  <si>
    <t>Kerry Moore School of Dance</t>
  </si>
  <si>
    <t>ksm665@gmail.com</t>
  </si>
  <si>
    <t>Big recital for 26, needs builder, passed on SS for this year</t>
  </si>
  <si>
    <t>SB Dance Studios</t>
  </si>
  <si>
    <t>sbdancecommunications@gmail.com</t>
  </si>
  <si>
    <t>Emily on behalf of Sandra, big recital, likes SS hasn't signed up</t>
  </si>
  <si>
    <t>Caledonia School of Dance</t>
  </si>
  <si>
    <t>caledoniadance@hotmail.com</t>
  </si>
  <si>
    <t>Legends School of Dance</t>
  </si>
  <si>
    <t>jade.percival@hotmail.ca</t>
  </si>
  <si>
    <t>Interested for 26, might need nudging, knows about SS</t>
  </si>
  <si>
    <t>Burlington Footnotes</t>
  </si>
  <si>
    <t>sepritchard53@gmail.com</t>
  </si>
  <si>
    <t>CRM Dashboard</t>
  </si>
  <si>
    <t>Product Status Summary</t>
  </si>
  <si>
    <t>Product</t>
  </si>
  <si>
    <t>Follow-up Summary</t>
  </si>
  <si>
    <t>Overdue Follow-ups:</t>
  </si>
  <si>
    <t>Due Within 3 Days:</t>
  </si>
  <si>
    <t>Completed This Week:</t>
  </si>
  <si>
    <t>Recent Activity</t>
  </si>
  <si>
    <t>Clients contacted in last 30 days: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</si>
</sst>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M/DD/YYYY"/>
  </numFmts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color theme="1"/>
      <name val="&quot;Google Sans Mono&quot;"/>
    </font>
    <font>
      <b/>
      <sz val="16.0"/>
      <color theme="1"/>
      <name val="Calibri"/>
      <scheme val="minor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  <fill>
      <patternFill patternType="solid">
        <fgColor rgb="FFE3F2FD"/>
        <bgColor rgb="FFE3F2F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Fill="1" applyFont="1"/>
    <xf borderId="0" fillId="0" fontId="3" numFmtId="164" xfId="0" applyAlignment="1" applyFont="1" applyNumberFormat="1">
      <alignment readingOrder="0"/>
    </xf>
    <xf borderId="0" fillId="4" fontId="4" numFmtId="165" xfId="0" applyFill="1" applyFont="1" applyNumberFormat="1"/>
    <xf borderId="0" fillId="3" fontId="3" numFmtId="0" xfId="0" applyAlignment="1" applyFont="1">
      <alignment readingOrder="0"/>
    </xf>
    <xf borderId="0" fillId="0" fontId="3" numFmtId="164" xfId="0" applyFont="1" applyNumberFormat="1"/>
    <xf borderId="0" fillId="3" fontId="2" numFmtId="0" xfId="0" applyAlignment="1" applyFont="1">
      <alignment readingOrder="0"/>
    </xf>
    <xf borderId="0" fillId="3" fontId="3" numFmtId="164" xfId="0" applyAlignment="1" applyFont="1" applyNumberFormat="1">
      <alignment readingOrder="0"/>
    </xf>
    <xf borderId="0" fillId="0" fontId="3" numFmtId="0" xfId="0" applyFont="1"/>
    <xf borderId="0" fillId="3" fontId="3" numFmtId="164" xfId="0" applyAlignment="1" applyFont="1" applyNumberFormat="1">
      <alignment horizontal="right" readingOrder="0"/>
    </xf>
    <xf borderId="0" fillId="3" fontId="3" numFmtId="164" xfId="0" applyFont="1" applyNumberFormat="1"/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2" numFmtId="0" xfId="0" applyFont="1"/>
    <xf borderId="2" fillId="5" fontId="6" numFmtId="0" xfId="0" applyBorder="1" applyFill="1" applyFont="1"/>
  </cellXfs>
  <cellStyles count="1">
    <cellStyle xfId="0" name="Normal" builtinId="0"/>
  </cellStyles>
  <dxfs count="9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6E0F8"/>
          <bgColor rgb="FFE6E0F8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  <dxf>
      <font/>
      <fill>
        <patternFill patternType="solid">
          <fgColor rgb="FFFFF176"/>
          <bgColor rgb="FFFFF176"/>
        </patternFill>
      </fill>
      <border/>
    </dxf>
    <dxf>
      <font/>
      <fill>
        <patternFill patternType="solid">
          <fgColor rgb="FF81D4FA"/>
          <bgColor rgb="FF81D4FA"/>
        </patternFill>
      </fill>
      <border/>
    </dxf>
    <dxf>
      <font/>
      <fill>
        <patternFill patternType="solid">
          <fgColor rgb="FFA5D6A7"/>
          <bgColor rgb="FFA5D6A7"/>
        </patternFill>
      </fill>
      <border/>
    </dxf>
    <dxf>
      <font/>
      <fill>
        <patternFill patternType="solid">
          <fgColor rgb="FFE0E0E0"/>
          <bgColor rgb="FFE0E0E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57"/>
    <col customWidth="1" min="2" max="2" width="15.0"/>
    <col customWidth="1" min="3" max="3" width="25.0"/>
    <col customWidth="1" min="4" max="5" width="15.0"/>
    <col customWidth="1" min="6" max="6" width="14.57"/>
    <col customWidth="1" min="7" max="7" width="17.29"/>
    <col customWidth="1" min="8" max="8" width="16.29"/>
    <col customWidth="1" min="9" max="10" width="19.57"/>
    <col customWidth="1" min="11" max="11" width="19.14"/>
    <col customWidth="1" min="12" max="12" width="67.29"/>
    <col customWidth="1" min="13" max="13" width="16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>
      <c r="A2" s="3" t="s">
        <v>13</v>
      </c>
      <c r="B2" s="4" t="s">
        <v>14</v>
      </c>
      <c r="C2" s="4" t="s">
        <v>15</v>
      </c>
      <c r="D2" s="5"/>
      <c r="E2" s="6">
        <v>44840.0</v>
      </c>
      <c r="F2" s="7" t="str">
        <f t="shared" ref="F2:F12" si="1">IF(G2="Weekly",E2+7,IF(G2="Bi-Weekly",E2+14,IF(G2="Monthly",E2+30,IF(G2="Quarterly",E2+90,IF(G2="Annually",E2+365,"")))))</f>
        <v/>
      </c>
      <c r="G2" s="5"/>
      <c r="H2" s="5" t="b">
        <v>0</v>
      </c>
      <c r="I2" s="8" t="s">
        <v>16</v>
      </c>
      <c r="J2" s="8" t="s">
        <v>16</v>
      </c>
      <c r="K2" s="8" t="s">
        <v>17</v>
      </c>
      <c r="L2" s="8" t="s">
        <v>18</v>
      </c>
      <c r="M2" s="9"/>
    </row>
    <row r="3">
      <c r="A3" s="3" t="s">
        <v>19</v>
      </c>
      <c r="C3" s="4" t="s">
        <v>20</v>
      </c>
      <c r="D3" s="5"/>
      <c r="E3" s="6">
        <v>45330.0</v>
      </c>
      <c r="F3" s="7" t="str">
        <f t="shared" si="1"/>
        <v/>
      </c>
      <c r="G3" s="5"/>
      <c r="H3" s="8" t="b">
        <v>0</v>
      </c>
      <c r="I3" s="8" t="s">
        <v>17</v>
      </c>
      <c r="J3" s="8" t="s">
        <v>21</v>
      </c>
      <c r="K3" s="8" t="s">
        <v>17</v>
      </c>
      <c r="L3" s="8" t="s">
        <v>22</v>
      </c>
      <c r="M3" s="9"/>
    </row>
    <row r="4">
      <c r="A4" s="3" t="s">
        <v>23</v>
      </c>
      <c r="C4" s="4" t="s">
        <v>24</v>
      </c>
      <c r="D4" s="5"/>
      <c r="E4" s="6">
        <v>45433.0</v>
      </c>
      <c r="F4" s="7" t="str">
        <f t="shared" si="1"/>
        <v/>
      </c>
      <c r="G4" s="8"/>
      <c r="H4" s="8" t="b">
        <v>0</v>
      </c>
      <c r="I4" s="8" t="s">
        <v>17</v>
      </c>
      <c r="J4" s="8" t="s">
        <v>17</v>
      </c>
      <c r="K4" s="8" t="s">
        <v>17</v>
      </c>
      <c r="L4" s="8" t="s">
        <v>25</v>
      </c>
      <c r="M4" s="9"/>
    </row>
    <row r="5">
      <c r="A5" s="3" t="s">
        <v>26</v>
      </c>
      <c r="C5" s="4" t="s">
        <v>27</v>
      </c>
      <c r="D5" s="5"/>
      <c r="E5" s="6">
        <v>45539.0</v>
      </c>
      <c r="F5" s="7" t="str">
        <f t="shared" si="1"/>
        <v/>
      </c>
      <c r="G5" s="5"/>
      <c r="H5" s="5" t="b">
        <v>0</v>
      </c>
      <c r="I5" s="8" t="s">
        <v>17</v>
      </c>
      <c r="J5" s="8" t="s">
        <v>21</v>
      </c>
      <c r="K5" s="8" t="s">
        <v>17</v>
      </c>
      <c r="L5" s="8" t="s">
        <v>28</v>
      </c>
      <c r="M5" s="9"/>
    </row>
    <row r="6">
      <c r="A6" s="3" t="s">
        <v>29</v>
      </c>
      <c r="C6" s="4" t="s">
        <v>30</v>
      </c>
      <c r="D6" s="5"/>
      <c r="E6" s="6">
        <v>45585.0</v>
      </c>
      <c r="F6" s="7" t="str">
        <f t="shared" si="1"/>
        <v/>
      </c>
      <c r="G6" s="5"/>
      <c r="H6" s="8" t="b">
        <v>1</v>
      </c>
      <c r="I6" s="8" t="s">
        <v>21</v>
      </c>
      <c r="J6" s="8" t="s">
        <v>17</v>
      </c>
      <c r="K6" s="8" t="s">
        <v>17</v>
      </c>
      <c r="L6" s="8" t="s">
        <v>31</v>
      </c>
      <c r="M6" s="9"/>
    </row>
    <row r="7">
      <c r="A7" s="3" t="s">
        <v>32</v>
      </c>
      <c r="C7" s="4" t="s">
        <v>33</v>
      </c>
      <c r="D7" s="5"/>
      <c r="E7" s="6">
        <v>45586.0</v>
      </c>
      <c r="F7" s="7" t="str">
        <f t="shared" si="1"/>
        <v/>
      </c>
      <c r="G7" s="5"/>
      <c r="H7" s="5" t="b">
        <v>0</v>
      </c>
      <c r="I7" s="8" t="s">
        <v>17</v>
      </c>
      <c r="J7" s="8" t="s">
        <v>21</v>
      </c>
      <c r="K7" s="8" t="s">
        <v>17</v>
      </c>
      <c r="L7" s="8" t="s">
        <v>34</v>
      </c>
      <c r="M7" s="9"/>
    </row>
    <row r="8">
      <c r="A8" s="3" t="s">
        <v>35</v>
      </c>
      <c r="C8" s="4" t="s">
        <v>36</v>
      </c>
      <c r="D8" s="5"/>
      <c r="E8" s="6">
        <v>45938.45202278935</v>
      </c>
      <c r="F8" s="7" t="str">
        <f t="shared" si="1"/>
        <v/>
      </c>
      <c r="G8" s="5"/>
      <c r="H8" s="8" t="b">
        <v>1</v>
      </c>
      <c r="I8" s="8" t="s">
        <v>21</v>
      </c>
      <c r="J8" s="8" t="s">
        <v>17</v>
      </c>
      <c r="K8" s="8" t="s">
        <v>17</v>
      </c>
      <c r="L8" s="8" t="s">
        <v>37</v>
      </c>
      <c r="M8" s="9"/>
    </row>
    <row r="9">
      <c r="A9" s="3" t="s">
        <v>38</v>
      </c>
      <c r="C9" s="4" t="s">
        <v>39</v>
      </c>
      <c r="D9" s="5"/>
      <c r="E9" s="6">
        <v>45677.0</v>
      </c>
      <c r="F9" s="7" t="str">
        <f t="shared" si="1"/>
        <v/>
      </c>
      <c r="G9" s="5"/>
      <c r="H9" s="5" t="b">
        <v>0</v>
      </c>
      <c r="I9" s="8" t="s">
        <v>17</v>
      </c>
      <c r="J9" s="8" t="s">
        <v>21</v>
      </c>
      <c r="K9" s="8" t="s">
        <v>17</v>
      </c>
      <c r="L9" s="8" t="s">
        <v>40</v>
      </c>
      <c r="M9" s="9"/>
    </row>
    <row r="10">
      <c r="A10" s="3" t="s">
        <v>41</v>
      </c>
      <c r="B10" s="4" t="s">
        <v>42</v>
      </c>
      <c r="C10" s="4" t="s">
        <v>43</v>
      </c>
      <c r="D10" s="5"/>
      <c r="E10" s="6">
        <v>45697.0</v>
      </c>
      <c r="F10" s="7" t="str">
        <f t="shared" si="1"/>
        <v/>
      </c>
      <c r="G10" s="5"/>
      <c r="H10" s="5" t="b">
        <v>0</v>
      </c>
      <c r="I10" s="8" t="s">
        <v>16</v>
      </c>
      <c r="J10" s="8" t="s">
        <v>21</v>
      </c>
      <c r="K10" s="8" t="s">
        <v>17</v>
      </c>
      <c r="L10" s="8" t="s">
        <v>44</v>
      </c>
      <c r="M10" s="9"/>
    </row>
    <row r="11">
      <c r="A11" s="3" t="s">
        <v>45</v>
      </c>
      <c r="C11" s="4" t="s">
        <v>46</v>
      </c>
      <c r="D11" s="5"/>
      <c r="E11" s="6">
        <v>45792.0</v>
      </c>
      <c r="F11" s="7" t="str">
        <f t="shared" si="1"/>
        <v/>
      </c>
      <c r="G11" s="5"/>
      <c r="H11" s="5" t="b">
        <v>0</v>
      </c>
      <c r="I11" s="8" t="s">
        <v>17</v>
      </c>
      <c r="J11" s="8" t="s">
        <v>17</v>
      </c>
      <c r="K11" s="8" t="s">
        <v>17</v>
      </c>
      <c r="L11" s="8" t="s">
        <v>47</v>
      </c>
      <c r="M11" s="9"/>
    </row>
    <row r="12">
      <c r="A12" s="3" t="s">
        <v>48</v>
      </c>
      <c r="B12" s="4" t="s">
        <v>49</v>
      </c>
      <c r="C12" s="4" t="s">
        <v>50</v>
      </c>
      <c r="D12" s="5"/>
      <c r="E12" s="6">
        <v>45891.0</v>
      </c>
      <c r="F12" s="7" t="str">
        <f t="shared" si="1"/>
        <v/>
      </c>
      <c r="G12" s="5"/>
      <c r="H12" s="5" t="b">
        <v>0</v>
      </c>
      <c r="I12" s="8" t="s">
        <v>21</v>
      </c>
      <c r="J12" s="8" t="s">
        <v>16</v>
      </c>
      <c r="K12" s="8" t="s">
        <v>51</v>
      </c>
      <c r="L12" s="8" t="s">
        <v>52</v>
      </c>
      <c r="M12" s="9"/>
    </row>
    <row r="13">
      <c r="A13" s="10" t="s">
        <v>53</v>
      </c>
      <c r="B13" s="5"/>
      <c r="C13" s="4" t="s">
        <v>54</v>
      </c>
      <c r="D13" s="5"/>
      <c r="E13" s="11">
        <v>45910.0</v>
      </c>
      <c r="F13" s="5"/>
      <c r="G13" s="5"/>
      <c r="H13" s="5" t="b">
        <v>0</v>
      </c>
      <c r="I13" s="8" t="s">
        <v>21</v>
      </c>
      <c r="J13" s="8" t="s">
        <v>17</v>
      </c>
      <c r="K13" s="8" t="s">
        <v>17</v>
      </c>
      <c r="L13" s="8" t="s">
        <v>55</v>
      </c>
      <c r="M13" s="9"/>
    </row>
    <row r="14" ht="15.75" customHeight="1">
      <c r="A14" s="3" t="s">
        <v>56</v>
      </c>
      <c r="C14" s="4" t="s">
        <v>54</v>
      </c>
      <c r="D14" s="5"/>
      <c r="E14" s="6">
        <v>45910.0</v>
      </c>
      <c r="F14" s="7" t="str">
        <f t="shared" ref="F14:F17" si="2">IF(G14="Weekly",E14+7,IF(G14="Bi-Weekly",E14+14,IF(G14="Monthly",E14+30,IF(G14="Quarterly",E14+90,IF(G14="Annually",E14+365,"")))))</f>
        <v/>
      </c>
      <c r="G14" s="5"/>
      <c r="H14" s="5" t="b">
        <v>0</v>
      </c>
      <c r="I14" s="8" t="s">
        <v>57</v>
      </c>
      <c r="J14" s="8" t="s">
        <v>16</v>
      </c>
      <c r="K14" s="8" t="s">
        <v>51</v>
      </c>
      <c r="L14" s="8" t="s">
        <v>58</v>
      </c>
      <c r="M14" s="9"/>
    </row>
    <row r="15" ht="15.75" customHeight="1">
      <c r="A15" s="3" t="s">
        <v>59</v>
      </c>
      <c r="B15" s="4" t="s">
        <v>60</v>
      </c>
      <c r="C15" s="4" t="s">
        <v>61</v>
      </c>
      <c r="D15" s="5"/>
      <c r="E15" s="6">
        <v>45928.0</v>
      </c>
      <c r="F15" s="7" t="str">
        <f t="shared" si="2"/>
        <v/>
      </c>
      <c r="G15" s="5"/>
      <c r="H15" s="5" t="b">
        <v>0</v>
      </c>
      <c r="I15" s="8" t="s">
        <v>17</v>
      </c>
      <c r="J15" s="8" t="s">
        <v>62</v>
      </c>
      <c r="K15" s="8" t="s">
        <v>17</v>
      </c>
      <c r="L15" s="8" t="s">
        <v>63</v>
      </c>
      <c r="M15" s="9"/>
    </row>
    <row r="16" ht="15.75" customHeight="1">
      <c r="A16" s="3" t="s">
        <v>64</v>
      </c>
      <c r="B16" s="12"/>
      <c r="C16" s="4" t="s">
        <v>65</v>
      </c>
      <c r="D16" s="5"/>
      <c r="E16" s="6">
        <v>45937.412384675925</v>
      </c>
      <c r="F16" s="7">
        <f t="shared" si="2"/>
        <v>45944.41238</v>
      </c>
      <c r="G16" s="8" t="s">
        <v>66</v>
      </c>
      <c r="H16" s="8" t="b">
        <v>1</v>
      </c>
      <c r="I16" s="8" t="s">
        <v>17</v>
      </c>
      <c r="J16" s="8" t="s">
        <v>67</v>
      </c>
      <c r="K16" s="8" t="s">
        <v>17</v>
      </c>
      <c r="L16" s="8" t="s">
        <v>68</v>
      </c>
      <c r="M16" s="9"/>
    </row>
    <row r="17" ht="15.75" customHeight="1">
      <c r="A17" s="3" t="s">
        <v>69</v>
      </c>
      <c r="B17" s="4" t="s">
        <v>70</v>
      </c>
      <c r="C17" s="4" t="s">
        <v>71</v>
      </c>
      <c r="D17" s="5"/>
      <c r="E17" s="6">
        <v>45937.412739444444</v>
      </c>
      <c r="F17" s="7">
        <f t="shared" si="2"/>
        <v>45944.41274</v>
      </c>
      <c r="G17" s="8" t="s">
        <v>66</v>
      </c>
      <c r="H17" s="8" t="b">
        <v>1</v>
      </c>
      <c r="I17" s="8" t="s">
        <v>72</v>
      </c>
      <c r="J17" s="8" t="s">
        <v>16</v>
      </c>
      <c r="K17" s="8" t="s">
        <v>17</v>
      </c>
      <c r="L17" s="8" t="s">
        <v>73</v>
      </c>
      <c r="M17" s="9"/>
    </row>
    <row r="18" ht="15.75" customHeight="1">
      <c r="A18" s="3" t="s">
        <v>74</v>
      </c>
      <c r="B18" s="5"/>
      <c r="C18" s="4" t="s">
        <v>75</v>
      </c>
      <c r="D18" s="5"/>
      <c r="E18" s="11">
        <v>45937.41402694445</v>
      </c>
      <c r="F18" s="5"/>
      <c r="G18" s="8" t="s">
        <v>66</v>
      </c>
      <c r="H18" s="8" t="b">
        <v>1</v>
      </c>
      <c r="I18" s="8" t="s">
        <v>17</v>
      </c>
      <c r="J18" s="8" t="s">
        <v>67</v>
      </c>
      <c r="K18" s="8" t="s">
        <v>17</v>
      </c>
      <c r="L18" s="8" t="s">
        <v>76</v>
      </c>
      <c r="M18" s="9"/>
    </row>
    <row r="19" ht="15.75" customHeight="1">
      <c r="A19" s="3" t="s">
        <v>77</v>
      </c>
      <c r="B19" s="5"/>
      <c r="C19" s="4" t="s">
        <v>78</v>
      </c>
      <c r="D19" s="5"/>
      <c r="E19" s="6">
        <v>45937.41484832176</v>
      </c>
      <c r="F19" s="5"/>
      <c r="G19" s="8" t="s">
        <v>66</v>
      </c>
      <c r="H19" s="8" t="b">
        <v>1</v>
      </c>
      <c r="I19" s="8" t="s">
        <v>17</v>
      </c>
      <c r="J19" s="8" t="s">
        <v>67</v>
      </c>
      <c r="K19" s="8" t="s">
        <v>62</v>
      </c>
      <c r="L19" s="8" t="s">
        <v>79</v>
      </c>
      <c r="M19" s="9"/>
    </row>
    <row r="20" ht="15.75" customHeight="1">
      <c r="A20" s="3" t="s">
        <v>80</v>
      </c>
      <c r="B20" s="12"/>
      <c r="C20" s="4" t="s">
        <v>81</v>
      </c>
      <c r="D20" s="5"/>
      <c r="E20" s="6">
        <v>45937.41601609954</v>
      </c>
      <c r="F20" s="7">
        <f t="shared" ref="F20:F21" si="3">IF(G20="Weekly",E20+7,IF(G20="Bi-Weekly",E20+14,IF(G20="Monthly",E20+30,IF(G20="Quarterly",E20+90,IF(G20="Annually",E20+365,"")))))</f>
        <v>45944.41602</v>
      </c>
      <c r="G20" s="8" t="s">
        <v>66</v>
      </c>
      <c r="H20" s="8" t="b">
        <v>1</v>
      </c>
      <c r="I20" s="8" t="s">
        <v>72</v>
      </c>
      <c r="J20" s="8" t="s">
        <v>67</v>
      </c>
      <c r="K20" s="8" t="s">
        <v>57</v>
      </c>
      <c r="L20" s="8" t="s">
        <v>82</v>
      </c>
      <c r="M20" s="9"/>
    </row>
    <row r="21" ht="15.75" customHeight="1">
      <c r="A21" s="3" t="s">
        <v>83</v>
      </c>
      <c r="B21" s="4" t="s">
        <v>84</v>
      </c>
      <c r="C21" s="4" t="s">
        <v>85</v>
      </c>
      <c r="D21" s="5"/>
      <c r="E21" s="6">
        <v>45937.42366665509</v>
      </c>
      <c r="F21" s="7">
        <f t="shared" si="3"/>
        <v>45944.42367</v>
      </c>
      <c r="G21" s="8" t="s">
        <v>66</v>
      </c>
      <c r="H21" s="8" t="b">
        <v>1</v>
      </c>
      <c r="I21" s="8" t="s">
        <v>17</v>
      </c>
      <c r="J21" s="8" t="s">
        <v>21</v>
      </c>
      <c r="K21" s="8" t="s">
        <v>17</v>
      </c>
      <c r="L21" s="8" t="s">
        <v>86</v>
      </c>
      <c r="M21" s="9"/>
    </row>
    <row r="22" ht="15.75" customHeight="1">
      <c r="A22" s="10" t="s">
        <v>87</v>
      </c>
      <c r="B22" s="5"/>
      <c r="C22" s="8" t="s">
        <v>88</v>
      </c>
      <c r="D22" s="5"/>
      <c r="E22" s="13">
        <v>45938.0</v>
      </c>
      <c r="F22" s="5"/>
      <c r="G22" s="8" t="s">
        <v>66</v>
      </c>
      <c r="H22" s="8" t="b">
        <v>1</v>
      </c>
      <c r="I22" s="8" t="s">
        <v>17</v>
      </c>
      <c r="J22" s="8" t="s">
        <v>62</v>
      </c>
      <c r="K22" s="8" t="s">
        <v>16</v>
      </c>
      <c r="L22" s="8" t="s">
        <v>89</v>
      </c>
      <c r="M22" s="9"/>
    </row>
    <row r="23" ht="15.75" customHeight="1">
      <c r="A23" s="3" t="s">
        <v>90</v>
      </c>
      <c r="B23" s="5"/>
      <c r="C23" s="4" t="s">
        <v>91</v>
      </c>
      <c r="D23" s="5"/>
      <c r="E23" s="13">
        <v>45938.0</v>
      </c>
      <c r="F23" s="5"/>
      <c r="G23" s="5"/>
      <c r="H23" s="8" t="b">
        <v>1</v>
      </c>
      <c r="I23" s="8" t="s">
        <v>17</v>
      </c>
      <c r="J23" s="8" t="s">
        <v>62</v>
      </c>
      <c r="K23" s="8" t="s">
        <v>62</v>
      </c>
      <c r="L23" s="8" t="s">
        <v>92</v>
      </c>
      <c r="M23" s="9"/>
    </row>
    <row r="24" ht="15.75" customHeight="1">
      <c r="A24" s="10" t="s">
        <v>93</v>
      </c>
      <c r="B24" s="5"/>
      <c r="C24" s="8" t="s">
        <v>94</v>
      </c>
      <c r="D24" s="5"/>
      <c r="E24" s="11">
        <v>45938.42597143519</v>
      </c>
      <c r="F24" s="5"/>
      <c r="G24" s="5"/>
      <c r="H24" s="8" t="b">
        <v>1</v>
      </c>
      <c r="I24" s="8" t="s">
        <v>57</v>
      </c>
      <c r="J24" s="8" t="s">
        <v>67</v>
      </c>
      <c r="K24" s="8" t="s">
        <v>57</v>
      </c>
      <c r="L24" s="5"/>
      <c r="M24" s="9"/>
    </row>
    <row r="25" ht="15.75" customHeight="1">
      <c r="A25" s="10" t="s">
        <v>95</v>
      </c>
      <c r="B25" s="5"/>
      <c r="C25" s="8" t="s">
        <v>96</v>
      </c>
      <c r="D25" s="5"/>
      <c r="E25" s="11">
        <v>45938.43159712963</v>
      </c>
      <c r="F25" s="7">
        <f>IF(G25="Weekly",E25+7,IF(G25="Bi-Weekly",E25+14,IF(G25="Monthly",E25+30,IF(G25="Quarterly",E25+90,IF(G25="Annually",E25+365,"")))))</f>
        <v>45945.4316</v>
      </c>
      <c r="G25" s="8" t="s">
        <v>66</v>
      </c>
      <c r="H25" s="8" t="b">
        <v>1</v>
      </c>
      <c r="I25" s="8" t="s">
        <v>16</v>
      </c>
      <c r="J25" s="8" t="s">
        <v>62</v>
      </c>
      <c r="K25" s="8" t="s">
        <v>51</v>
      </c>
      <c r="L25" s="8" t="s">
        <v>97</v>
      </c>
      <c r="M25" s="9"/>
    </row>
    <row r="26" ht="15.75" customHeight="1">
      <c r="A26" s="8" t="s">
        <v>98</v>
      </c>
      <c r="B26" s="5"/>
      <c r="C26" s="8" t="s">
        <v>99</v>
      </c>
      <c r="D26" s="5"/>
      <c r="E26" s="11">
        <v>45939.32267784722</v>
      </c>
      <c r="F26" s="5"/>
      <c r="G26" s="5"/>
      <c r="H26" s="8" t="b">
        <v>1</v>
      </c>
      <c r="I26" s="8" t="s">
        <v>62</v>
      </c>
      <c r="J26" s="8" t="s">
        <v>62</v>
      </c>
      <c r="K26" s="8" t="s">
        <v>17</v>
      </c>
      <c r="L26" s="5"/>
      <c r="M26" s="9"/>
    </row>
    <row r="27" ht="15.75" customHeight="1">
      <c r="A27" s="5"/>
      <c r="B27" s="5"/>
      <c r="C27" s="5"/>
      <c r="D27" s="5"/>
      <c r="E27" s="14"/>
      <c r="F27" s="5"/>
      <c r="G27" s="5"/>
      <c r="H27" s="5" t="b">
        <v>0</v>
      </c>
      <c r="I27" s="5"/>
      <c r="J27" s="5"/>
      <c r="K27" s="5"/>
      <c r="L27" s="5"/>
      <c r="M27" s="9"/>
    </row>
    <row r="28" ht="15.75" customHeight="1">
      <c r="A28" s="5"/>
      <c r="B28" s="5"/>
      <c r="C28" s="5"/>
      <c r="D28" s="5"/>
      <c r="E28" s="14"/>
      <c r="F28" s="5"/>
      <c r="G28" s="5"/>
      <c r="H28" s="5" t="b">
        <v>0</v>
      </c>
      <c r="I28" s="5"/>
      <c r="J28" s="5"/>
      <c r="K28" s="5"/>
      <c r="L28" s="5"/>
      <c r="M28" s="9"/>
    </row>
    <row r="29" ht="15.75" customHeight="1">
      <c r="A29" s="5"/>
      <c r="B29" s="5"/>
      <c r="C29" s="5"/>
      <c r="D29" s="5"/>
      <c r="E29" s="14"/>
      <c r="F29" s="5"/>
      <c r="G29" s="5"/>
      <c r="H29" s="5" t="b">
        <v>0</v>
      </c>
      <c r="I29" s="5"/>
      <c r="J29" s="5"/>
      <c r="K29" s="5"/>
      <c r="L29" s="5"/>
      <c r="M29" s="9"/>
    </row>
    <row r="30" ht="15.75" customHeight="1">
      <c r="A30" s="5"/>
      <c r="B30" s="5"/>
      <c r="C30" s="5"/>
      <c r="D30" s="5"/>
      <c r="E30" s="14"/>
      <c r="F30" s="5"/>
      <c r="G30" s="5"/>
      <c r="H30" s="5" t="b">
        <v>0</v>
      </c>
      <c r="I30" s="5"/>
      <c r="J30" s="5"/>
      <c r="K30" s="5"/>
      <c r="L30" s="5"/>
      <c r="M30" s="9"/>
    </row>
    <row r="31" ht="15.75" customHeight="1">
      <c r="A31" s="5"/>
      <c r="B31" s="5"/>
      <c r="C31" s="5"/>
      <c r="D31" s="5"/>
      <c r="E31" s="14"/>
      <c r="F31" s="5"/>
      <c r="G31" s="5"/>
      <c r="H31" s="5" t="b">
        <v>0</v>
      </c>
      <c r="I31" s="5"/>
      <c r="J31" s="5"/>
      <c r="K31" s="5"/>
      <c r="L31" s="5"/>
      <c r="M31" s="9"/>
    </row>
    <row r="32" ht="15.75" customHeight="1">
      <c r="A32" s="5"/>
      <c r="B32" s="5"/>
      <c r="C32" s="5"/>
      <c r="D32" s="5"/>
      <c r="E32" s="14"/>
      <c r="F32" s="5"/>
      <c r="G32" s="5"/>
      <c r="H32" s="8" t="b">
        <v>0</v>
      </c>
      <c r="I32" s="5"/>
      <c r="J32" s="5"/>
      <c r="K32" s="5"/>
      <c r="L32" s="5"/>
      <c r="M32" s="9"/>
    </row>
    <row r="33" ht="15.75" customHeight="1">
      <c r="A33" s="5"/>
      <c r="B33" s="5"/>
      <c r="C33" s="5"/>
      <c r="D33" s="5"/>
      <c r="E33" s="14"/>
      <c r="F33" s="5"/>
      <c r="G33" s="5"/>
      <c r="H33" s="5" t="b">
        <v>0</v>
      </c>
      <c r="I33" s="5"/>
      <c r="J33" s="5"/>
      <c r="K33" s="5"/>
      <c r="L33" s="5"/>
      <c r="M33" s="9"/>
    </row>
    <row r="34" ht="15.75" customHeight="1">
      <c r="A34" s="5"/>
      <c r="B34" s="5"/>
      <c r="C34" s="5"/>
      <c r="D34" s="5"/>
      <c r="E34" s="14"/>
      <c r="F34" s="5"/>
      <c r="G34" s="5"/>
      <c r="H34" s="5" t="b">
        <v>0</v>
      </c>
      <c r="I34" s="5"/>
      <c r="J34" s="5"/>
      <c r="K34" s="5"/>
      <c r="L34" s="5"/>
      <c r="M34" s="9"/>
    </row>
    <row r="35" ht="15.75" customHeight="1">
      <c r="A35" s="5"/>
      <c r="B35" s="5"/>
      <c r="C35" s="5"/>
      <c r="D35" s="5"/>
      <c r="E35" s="14"/>
      <c r="F35" s="5"/>
      <c r="G35" s="5"/>
      <c r="H35" s="5" t="b">
        <v>0</v>
      </c>
      <c r="I35" s="5"/>
      <c r="J35" s="5"/>
      <c r="K35" s="5"/>
      <c r="L35" s="5"/>
      <c r="M35" s="9"/>
    </row>
    <row r="36" ht="15.75" customHeight="1">
      <c r="A36" s="5"/>
      <c r="B36" s="5"/>
      <c r="C36" s="5"/>
      <c r="D36" s="5"/>
      <c r="E36" s="14"/>
      <c r="F36" s="5"/>
      <c r="G36" s="5"/>
      <c r="H36" s="8" t="b">
        <v>0</v>
      </c>
      <c r="I36" s="5"/>
      <c r="J36" s="5"/>
      <c r="K36" s="5"/>
      <c r="L36" s="5"/>
      <c r="M36" s="9"/>
    </row>
    <row r="37" ht="15.75" customHeight="1">
      <c r="A37" s="5"/>
      <c r="B37" s="5"/>
      <c r="C37" s="5"/>
      <c r="D37" s="5"/>
      <c r="E37" s="14"/>
      <c r="F37" s="5"/>
      <c r="G37" s="5"/>
      <c r="H37" s="5" t="b">
        <v>0</v>
      </c>
      <c r="I37" s="5"/>
      <c r="J37" s="5"/>
      <c r="K37" s="5"/>
      <c r="L37" s="5"/>
      <c r="M37" s="9"/>
    </row>
    <row r="38" ht="15.75" customHeight="1">
      <c r="A38" s="5"/>
      <c r="B38" s="5"/>
      <c r="C38" s="5"/>
      <c r="D38" s="5"/>
      <c r="E38" s="14"/>
      <c r="F38" s="5"/>
      <c r="G38" s="5"/>
      <c r="H38" s="5" t="b">
        <v>0</v>
      </c>
      <c r="I38" s="5"/>
      <c r="J38" s="5"/>
      <c r="K38" s="5"/>
      <c r="L38" s="5"/>
      <c r="M38" s="9"/>
    </row>
    <row r="39" ht="15.75" customHeight="1">
      <c r="A39" s="5"/>
      <c r="B39" s="5"/>
      <c r="C39" s="5"/>
      <c r="D39" s="5"/>
      <c r="E39" s="14"/>
      <c r="F39" s="5"/>
      <c r="G39" s="5"/>
      <c r="H39" s="5" t="b">
        <v>0</v>
      </c>
      <c r="I39" s="5"/>
      <c r="J39" s="5"/>
      <c r="K39" s="5"/>
      <c r="L39" s="5"/>
      <c r="M39" s="9"/>
    </row>
    <row r="40" ht="15.75" customHeight="1">
      <c r="A40" s="12"/>
      <c r="B40" s="12"/>
      <c r="C40" s="12"/>
      <c r="D40" s="12"/>
      <c r="E40" s="12"/>
      <c r="F40" s="12"/>
      <c r="G40" s="12"/>
      <c r="H40" s="5" t="b">
        <v>0</v>
      </c>
      <c r="I40" s="12"/>
      <c r="J40" s="15"/>
      <c r="K40" s="12"/>
      <c r="L40" s="12"/>
    </row>
    <row r="41" ht="15.75" customHeight="1">
      <c r="A41" s="12"/>
      <c r="B41" s="12"/>
      <c r="C41" s="12"/>
      <c r="D41" s="12"/>
      <c r="E41" s="12"/>
      <c r="F41" s="12"/>
      <c r="G41" s="12"/>
      <c r="H41" s="5" t="b">
        <v>0</v>
      </c>
      <c r="I41" s="12"/>
      <c r="J41" s="12"/>
      <c r="K41" s="12"/>
      <c r="L41" s="12"/>
    </row>
    <row r="42" ht="15.75" customHeight="1">
      <c r="A42" s="12"/>
      <c r="B42" s="12"/>
      <c r="C42" s="12"/>
      <c r="D42" s="12"/>
      <c r="E42" s="12"/>
      <c r="F42" s="12"/>
      <c r="G42" s="12"/>
      <c r="H42" s="5" t="b">
        <v>0</v>
      </c>
      <c r="I42" s="12"/>
      <c r="J42" s="12"/>
      <c r="K42" s="12"/>
      <c r="L42" s="12"/>
    </row>
    <row r="43" ht="15.75" customHeight="1">
      <c r="A43" s="12"/>
      <c r="B43" s="12"/>
      <c r="C43" s="12"/>
      <c r="D43" s="12"/>
      <c r="E43" s="12"/>
      <c r="F43" s="12"/>
      <c r="G43" s="12"/>
      <c r="H43" s="5" t="b">
        <v>0</v>
      </c>
      <c r="I43" s="12"/>
      <c r="J43" s="12"/>
      <c r="K43" s="12"/>
      <c r="L43" s="12"/>
    </row>
    <row r="44" ht="15.75" customHeight="1">
      <c r="A44" s="12"/>
      <c r="B44" s="12"/>
      <c r="C44" s="12"/>
      <c r="D44" s="12"/>
      <c r="E44" s="12"/>
      <c r="F44" s="12"/>
      <c r="G44" s="12"/>
      <c r="H44" s="5" t="b">
        <v>0</v>
      </c>
      <c r="I44" s="12"/>
      <c r="J44" s="12"/>
      <c r="K44" s="12"/>
      <c r="L44" s="12"/>
    </row>
    <row r="45" ht="15.75" customHeight="1">
      <c r="A45" s="12"/>
      <c r="B45" s="12"/>
      <c r="C45" s="12"/>
      <c r="D45" s="12"/>
      <c r="E45" s="12"/>
      <c r="F45" s="12"/>
      <c r="G45" s="12"/>
      <c r="H45" s="5" t="b">
        <v>0</v>
      </c>
      <c r="I45" s="12"/>
      <c r="J45" s="12"/>
      <c r="K45" s="12"/>
      <c r="L45" s="12"/>
    </row>
    <row r="46" ht="15.75" customHeight="1">
      <c r="A46" s="12"/>
      <c r="B46" s="12"/>
      <c r="C46" s="12"/>
      <c r="D46" s="12"/>
      <c r="E46" s="12"/>
      <c r="F46" s="12"/>
      <c r="G46" s="12"/>
      <c r="H46" s="5" t="b">
        <v>0</v>
      </c>
      <c r="I46" s="12"/>
      <c r="J46" s="12"/>
      <c r="K46" s="12"/>
      <c r="L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</row>
  </sheetData>
  <conditionalFormatting sqref="K2:K46">
    <cfRule type="cellIs" dxfId="0" priority="1" stopIfTrue="1" operator="equal">
      <formula>"Interested"</formula>
    </cfRule>
  </conditionalFormatting>
  <conditionalFormatting sqref="J2:J46">
    <cfRule type="cellIs" dxfId="0" priority="2" stopIfTrue="1" operator="equal">
      <formula>"Interested"</formula>
    </cfRule>
  </conditionalFormatting>
  <conditionalFormatting sqref="I2:I46">
    <cfRule type="cellIs" dxfId="0" priority="3" stopIfTrue="1" operator="equal">
      <formula>"Interested"</formula>
    </cfRule>
  </conditionalFormatting>
  <conditionalFormatting sqref="E2:E46">
    <cfRule type="expression" dxfId="1" priority="4" stopIfTrue="1">
      <formula>E2&gt;=TODAY()-14</formula>
    </cfRule>
  </conditionalFormatting>
  <conditionalFormatting sqref="J2:J46">
    <cfRule type="cellIs" dxfId="2" priority="5" stopIfTrue="1" operator="equal">
      <formula>"Penciled"</formula>
    </cfRule>
  </conditionalFormatting>
  <conditionalFormatting sqref="A2:L988">
    <cfRule type="expression" dxfId="3" priority="6">
      <formula>$F2&lt;TODAY()</formula>
    </cfRule>
  </conditionalFormatting>
  <conditionalFormatting sqref="A2:L988">
    <cfRule type="expression" dxfId="4" priority="7">
      <formula>AND($F2&gt;=TODAY(),$F2&lt;=TODAY()+3)</formula>
    </cfRule>
  </conditionalFormatting>
  <conditionalFormatting sqref="I2:I988">
    <cfRule type="cellIs" dxfId="5" priority="8" operator="equal">
      <formula>"Interested"</formula>
    </cfRule>
  </conditionalFormatting>
  <conditionalFormatting sqref="I2:I988">
    <cfRule type="cellIs" dxfId="6" priority="9" operator="equal">
      <formula>"Proposal Sent"</formula>
    </cfRule>
  </conditionalFormatting>
  <conditionalFormatting sqref="I2:I988">
    <cfRule type="cellIs" dxfId="7" priority="10" operator="equal">
      <formula>"Purchased"</formula>
    </cfRule>
  </conditionalFormatting>
  <conditionalFormatting sqref="I2:I988">
    <cfRule type="cellIs" dxfId="8" priority="11" operator="equal">
      <formula>"Not Interested"</formula>
    </cfRule>
  </conditionalFormatting>
  <conditionalFormatting sqref="J2:J988">
    <cfRule type="cellIs" dxfId="5" priority="12" operator="equal">
      <formula>"Interested"</formula>
    </cfRule>
  </conditionalFormatting>
  <conditionalFormatting sqref="J2:J988">
    <cfRule type="cellIs" dxfId="6" priority="13" operator="equal">
      <formula>"Proposal Sent"</formula>
    </cfRule>
  </conditionalFormatting>
  <conditionalFormatting sqref="J2:J988">
    <cfRule type="cellIs" dxfId="7" priority="14" operator="equal">
      <formula>"Purchased"</formula>
    </cfRule>
  </conditionalFormatting>
  <conditionalFormatting sqref="J2:J988">
    <cfRule type="cellIs" dxfId="8" priority="15" operator="equal">
      <formula>"Not Interested"</formula>
    </cfRule>
  </conditionalFormatting>
  <conditionalFormatting sqref="K2:K988">
    <cfRule type="cellIs" dxfId="5" priority="16" operator="equal">
      <formula>"Interested"</formula>
    </cfRule>
  </conditionalFormatting>
  <conditionalFormatting sqref="K2:K988">
    <cfRule type="cellIs" dxfId="6" priority="17" operator="equal">
      <formula>"Proposal Sent"</formula>
    </cfRule>
  </conditionalFormatting>
  <conditionalFormatting sqref="K2:K988">
    <cfRule type="cellIs" dxfId="7" priority="18" operator="equal">
      <formula>"Purchased"</formula>
    </cfRule>
  </conditionalFormatting>
  <conditionalFormatting sqref="K2:K988">
    <cfRule type="cellIs" dxfId="8" priority="19" operator="equal">
      <formula>"Not Interested"</formula>
    </cfRule>
  </conditionalFormatting>
  <dataValidations>
    <dataValidation type="list" allowBlank="1" sqref="I47:K988">
      <formula1>"Not Contacted,Interested,Proposal Sent,Purchased,Not Interested,Previous Client"</formula1>
    </dataValidation>
    <dataValidation type="list" allowBlank="1" sqref="I2:I46">
      <formula1>"Not Interested,Not Contacted,Previous Client,Proposal Sent,Contacted,Interested,Purchased"</formula1>
    </dataValidation>
    <dataValidation type="list" allowBlank="1" sqref="G2:G988">
      <formula1>"Weekly,Monthly,Quarterly,Yearly"</formula1>
    </dataValidation>
    <dataValidation type="list" allowBlank="1" sqref="J2:J46">
      <formula1>"Interested,Not Interested,Not Contacted,Previous Client,Penciled,Contacted,Purchased"</formula1>
    </dataValidation>
    <dataValidation type="list" allowBlank="1" sqref="K2:K46">
      <formula1>"Proposal Sent,Not Interested,Not Contacted,Interested,Purchased"</formula1>
    </dataValidation>
    <dataValidation type="list" allowBlank="1" sqref="D2:D988">
      <formula1>"Phone,Email,In-Person,SMS,Other"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6" width="15.0"/>
    <col customWidth="1" min="7" max="26" width="8.71"/>
  </cols>
  <sheetData>
    <row r="1">
      <c r="A1" s="16" t="s">
        <v>100</v>
      </c>
    </row>
    <row r="3">
      <c r="A3" s="17" t="s">
        <v>101</v>
      </c>
    </row>
    <row r="4">
      <c r="A4" s="18" t="s">
        <v>102</v>
      </c>
      <c r="B4" s="18" t="s">
        <v>17</v>
      </c>
      <c r="C4" s="18" t="s">
        <v>62</v>
      </c>
      <c r="D4" s="18" t="s">
        <v>51</v>
      </c>
      <c r="E4" s="18" t="s">
        <v>57</v>
      </c>
      <c r="F4" s="18" t="s">
        <v>16</v>
      </c>
    </row>
    <row r="5">
      <c r="A5" s="12" t="s">
        <v>8</v>
      </c>
      <c r="B5" s="12">
        <f>COUNTIF('CRM Data'!I2:I988,"Not Contacted")</f>
        <v>13</v>
      </c>
      <c r="C5" s="12">
        <f>COUNTIF('CRM Data'!I2:I988,"Interested")</f>
        <v>1</v>
      </c>
      <c r="D5" s="12">
        <f>COUNTIF('CRM Data'!I2:I988,"Proposal Sent")</f>
        <v>0</v>
      </c>
      <c r="E5" s="12">
        <f>COUNTIF('CRM Data'!I2:I988,"Purchased")</f>
        <v>2</v>
      </c>
      <c r="F5" s="12">
        <f>COUNTIF('CRM Data'!I2:I988,"Not Interested")</f>
        <v>3</v>
      </c>
    </row>
    <row r="6">
      <c r="A6" s="12" t="s">
        <v>9</v>
      </c>
      <c r="B6" s="12">
        <f>COUNTIF('CRM Data'!J2:J988,"Not Contacted")</f>
        <v>5</v>
      </c>
      <c r="C6" s="12">
        <f>COUNTIF('CRM Data'!J2:J988,"Interested")</f>
        <v>5</v>
      </c>
      <c r="D6" s="12">
        <f>COUNTIF('CRM Data'!J2:J988,"Proposal Sent")</f>
        <v>0</v>
      </c>
      <c r="E6" s="12">
        <f>COUNTIF('CRM Data'!J2:J988,"Purchased")</f>
        <v>0</v>
      </c>
      <c r="F6" s="12">
        <f>COUNTIF('CRM Data'!J2:J988,"Not Interested")</f>
        <v>4</v>
      </c>
    </row>
    <row r="7">
      <c r="A7" s="12" t="s">
        <v>10</v>
      </c>
      <c r="B7" s="12">
        <f>COUNTIF('CRM Data'!K2:K988,"Not Contacted")</f>
        <v>17</v>
      </c>
      <c r="C7" s="12">
        <f>COUNTIF('CRM Data'!K2:K988,"Interested")</f>
        <v>2</v>
      </c>
      <c r="D7" s="12">
        <f>COUNTIF('CRM Data'!K2:K988,"Proposal Sent")</f>
        <v>3</v>
      </c>
      <c r="E7" s="12">
        <f>COUNTIF('CRM Data'!K2:K988,"Purchased")</f>
        <v>2</v>
      </c>
      <c r="F7" s="12">
        <f>COUNTIF('CRM Data'!K2:K988,"Not Interested")</f>
        <v>1</v>
      </c>
    </row>
    <row r="9">
      <c r="A9" s="17" t="s">
        <v>103</v>
      </c>
    </row>
    <row r="10">
      <c r="A10" s="12" t="s">
        <v>104</v>
      </c>
      <c r="B10" s="12">
        <f>COUNTIF('CRM Data'!F2:F988,"&lt;"&amp;TODAY())</f>
        <v>5</v>
      </c>
    </row>
    <row r="11">
      <c r="A11" s="12" t="s">
        <v>105</v>
      </c>
      <c r="B11" s="12">
        <f>COUNTIFS('CRM Data'!F2:F988,"&gt;="&amp;TODAY(),'CRM Data'!F2:F988,"&lt;="&amp;TODAY()+3)</f>
        <v>0</v>
      </c>
    </row>
    <row r="12">
      <c r="A12" s="12" t="s">
        <v>106</v>
      </c>
      <c r="B12" s="12">
        <f>COUNTIFS('CRM Data'!E2:E988,"&gt;="&amp;TODAY()-7,'CRM Data'!E2:E988,"&lt;="&amp;TODAY())</f>
        <v>0</v>
      </c>
    </row>
    <row r="14">
      <c r="A14" s="17" t="s">
        <v>107</v>
      </c>
    </row>
    <row r="15">
      <c r="A15" s="12" t="s">
        <v>108</v>
      </c>
      <c r="B15" s="12">
        <f>COUNTIFS('CRM Data'!E2:E988,"&gt;="&amp;TODAY()-30)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